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552b6fb0f1327a2/4.  P R O J E K T E/2010 H.18/Bau- und Sanierung ab 2024/18. Vermietung/Grundrisse Vermietung/"/>
    </mc:Choice>
  </mc:AlternateContent>
  <xr:revisionPtr revIDLastSave="1" documentId="8_{7851C5B6-2E88-4D64-BB49-FCFC842C3919}" xr6:coauthVersionLast="47" xr6:coauthVersionMax="47" xr10:uidLastSave="{01A8741C-E9D8-4428-9290-ECB120D45D47}"/>
  <bookViews>
    <workbookView xWindow="-21615" yWindow="2160" windowWidth="21600" windowHeight="11385" xr2:uid="{00000000-000D-0000-FFFF-FFFF00000000}"/>
  </bookViews>
  <sheets>
    <sheet name="Übersicht" sheetId="1" r:id="rId1"/>
    <sheet name="Quel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1" l="1"/>
  <c r="F36" i="1"/>
  <c r="F42" i="1" s="1"/>
</calcChain>
</file>

<file path=xl/sharedStrings.xml><?xml version="1.0" encoding="utf-8"?>
<sst xmlns="http://schemas.openxmlformats.org/spreadsheetml/2006/main" count="195" uniqueCount="80">
  <si>
    <t>Holsteinische Str. 18, 10717 Berlin - Wohn- und Gewerbeeinheiten</t>
  </si>
  <si>
    <t>Handschriftliche Notizen: links oben „1. Teil“; rechts oben „34 inkl. Balkons“</t>
  </si>
  <si>
    <t>WE-Nr.</t>
  </si>
  <si>
    <t>Lage</t>
  </si>
  <si>
    <t>Geschoss</t>
  </si>
  <si>
    <t>Seite</t>
  </si>
  <si>
    <t>Anzahl Zimmer</t>
  </si>
  <si>
    <t>Größe m²</t>
  </si>
  <si>
    <t>01</t>
  </si>
  <si>
    <t>VH</t>
  </si>
  <si>
    <t>EG</t>
  </si>
  <si>
    <t>re</t>
  </si>
  <si>
    <t>02</t>
  </si>
  <si>
    <t>li</t>
  </si>
  <si>
    <t>03.1</t>
  </si>
  <si>
    <t>1.OG</t>
  </si>
  <si>
    <t>2 Zi-WE</t>
  </si>
  <si>
    <t>03.2</t>
  </si>
  <si>
    <t>li Sfl+VH</t>
  </si>
  <si>
    <t>2 Zi + Wohnküche</t>
  </si>
  <si>
    <t>04</t>
  </si>
  <si>
    <t>05</t>
  </si>
  <si>
    <t>re Sfl</t>
  </si>
  <si>
    <t>06</t>
  </si>
  <si>
    <t>li Sfl</t>
  </si>
  <si>
    <t>2.OG</t>
  </si>
  <si>
    <t>1 Zi-WE</t>
  </si>
  <si>
    <t>07</t>
  </si>
  <si>
    <t>3 Zi-WE</t>
  </si>
  <si>
    <t>Tilpe</t>
  </si>
  <si>
    <t>08</t>
  </si>
  <si>
    <t>09</t>
  </si>
  <si>
    <t>1 Zi + Wohnküche</t>
  </si>
  <si>
    <t>10/11</t>
  </si>
  <si>
    <t>VH+li Sfl</t>
  </si>
  <si>
    <t>3.OG</t>
  </si>
  <si>
    <t>5 Zi-WE</t>
  </si>
  <si>
    <t>12/13</t>
  </si>
  <si>
    <t>VH+re Sfl</t>
  </si>
  <si>
    <t>14/15</t>
  </si>
  <si>
    <t>4.OG</t>
  </si>
  <si>
    <t>16/17</t>
  </si>
  <si>
    <t>18</t>
  </si>
  <si>
    <t>19</t>
  </si>
  <si>
    <t>GH</t>
  </si>
  <si>
    <t>20</t>
  </si>
  <si>
    <t>21</t>
  </si>
  <si>
    <t>22</t>
  </si>
  <si>
    <t>23</t>
  </si>
  <si>
    <t>24</t>
  </si>
  <si>
    <t>V. Hauenschild</t>
  </si>
  <si>
    <t>25</t>
  </si>
  <si>
    <t>26</t>
  </si>
  <si>
    <t>27</t>
  </si>
  <si>
    <t>28</t>
  </si>
  <si>
    <t>29</t>
  </si>
  <si>
    <t>30</t>
  </si>
  <si>
    <t>GH+li Sfl</t>
  </si>
  <si>
    <t>4 Zi-WE</t>
  </si>
  <si>
    <t>31/32</t>
  </si>
  <si>
    <t>GH+re Sfl</t>
  </si>
  <si>
    <t>33/34</t>
  </si>
  <si>
    <t>35/36</t>
  </si>
  <si>
    <t>Summe EG - 4.OG</t>
  </si>
  <si>
    <t>37</t>
  </si>
  <si>
    <t>DG</t>
  </si>
  <si>
    <t>39</t>
  </si>
  <si>
    <t>40</t>
  </si>
  <si>
    <t>Summe DG</t>
  </si>
  <si>
    <t>Quelldatei</t>
  </si>
  <si>
    <t>H18 2. Übersicht WE , GA inkl. Balkon.pdf</t>
  </si>
  <si>
    <t>1</t>
  </si>
  <si>
    <t>Hinweis</t>
  </si>
  <si>
    <t>Aus dem PDF-Bild manuell in Excel übertragen; Werte wurden als Text übernommen, um Kommas und Schreibweise exakt zu erhalten.</t>
  </si>
  <si>
    <t>Unsichere Stelle</t>
  </si>
  <si>
    <t>DG-Sektion: nach WE-Nr. 37 zeigt die Quelle sichtbar „28“; deshalb wurde „28“ unverändert übernommen.</t>
  </si>
  <si>
    <t>Zusammenstellung Flächen - Stand 21.04.2026</t>
  </si>
  <si>
    <t>Summe    EG - DG</t>
  </si>
  <si>
    <t xml:space="preserve">Notizen </t>
  </si>
  <si>
    <t>Holsteinische Str. 18, 10717 Berlin, GH inkl. Balkone neu   21.04.2026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</si>
</sst>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m²&quot;"/>
  </numFmts>
  <fonts count="5">
    <font>
      <sz val="11"/>
      <name val="Carlito"/>
    </font>
    <font>
      <b/>
      <sz val="11"/>
      <name val="Carlito"/>
    </font>
    <font>
      <i/>
      <sz val="11"/>
      <name val="Carlito"/>
    </font>
    <font>
      <sz val="11"/>
      <name val="Carlito"/>
    </font>
    <font>
      <b/>
      <sz val="14"/>
      <name val="Carlito"/>
    </font>
  </fonts>
  <fills count="4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0" borderId="0" xfId="1" applyFont="1"/>
    <xf numFmtId="0" fontId="0" fillId="0" borderId="0" xfId="1" applyFont="1" applyAlignment="1">
      <alignment wrapText="1"/>
    </xf>
    <xf numFmtId="0" fontId="1" fillId="2" borderId="0" xfId="1" applyFont="1" applyFill="1" applyAlignment="1">
      <alignment horizontal="center" wrapText="1"/>
    </xf>
    <xf numFmtId="0" fontId="1" fillId="3" borderId="0" xfId="1" applyFont="1" applyFill="1" applyAlignment="1">
      <alignment wrapText="1"/>
    </xf>
    <xf numFmtId="164" fontId="0" fillId="0" borderId="0" xfId="0" applyNumberFormat="1" applyAlignment="1">
      <alignment wrapText="1"/>
    </xf>
    <xf numFmtId="164" fontId="1" fillId="3" borderId="0" xfId="0" applyNumberFormat="1" applyFont="1" applyFill="1" applyAlignment="1">
      <alignment wrapText="1"/>
    </xf>
    <xf numFmtId="164" fontId="4" fillId="3" borderId="0" xfId="0" applyNumberFormat="1" applyFont="1" applyFill="1" applyAlignment="1">
      <alignment wrapText="1"/>
    </xf>
    <xf numFmtId="0" fontId="4" fillId="3" borderId="0" xfId="1" applyFont="1" applyFill="1" applyAlignment="1">
      <alignment wrapText="1"/>
    </xf>
    <xf numFmtId="0" fontId="1" fillId="0" borderId="0" xfId="1" applyFont="1" applyAlignment="1">
      <alignment horizontal="center" wrapText="1"/>
    </xf>
    <xf numFmtId="0" fontId="2" fillId="0" borderId="0" xfId="1" applyFont="1" applyAlignment="1">
      <alignment wrapText="1"/>
    </xf>
    <xf numFmtId="0" fontId="0" fillId="0" borderId="0" xfId="1" applyFont="1" applyAlignment="1">
      <alignment horizontal="left" wrapText="1"/>
    </xf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4"/>
  <sheetViews>
    <sheetView tabSelected="1" topLeftCell="A29" workbookViewId="0">
      <selection activeCell="A44" sqref="A44:G44"/>
    </sheetView>
  </sheetViews>
  <sheetFormatPr baseColWidth="10" defaultColWidth="9" defaultRowHeight="14.25"/>
  <cols>
    <col min="1" max="1" width="11.5" customWidth="1"/>
    <col min="2" max="2" width="10.375" customWidth="1"/>
    <col min="3" max="3" width="7.25" customWidth="1"/>
    <col min="4" max="4" width="4.5" customWidth="1"/>
    <col min="5" max="5" width="10" customWidth="1"/>
    <col min="6" max="6" width="14" customWidth="1"/>
    <col min="7" max="7" width="21.875" customWidth="1"/>
  </cols>
  <sheetData>
    <row r="1" spans="1:7" ht="15">
      <c r="A1" s="9" t="s">
        <v>0</v>
      </c>
      <c r="B1" s="9"/>
      <c r="C1" s="9"/>
      <c r="D1" s="9"/>
      <c r="E1" s="9"/>
      <c r="F1" s="9"/>
      <c r="G1" s="9"/>
    </row>
    <row r="2" spans="1:7" ht="15">
      <c r="A2" s="9" t="s">
        <v>76</v>
      </c>
      <c r="B2" s="9"/>
      <c r="C2" s="9"/>
      <c r="D2" s="9"/>
      <c r="E2" s="9"/>
      <c r="F2" s="9"/>
      <c r="G2" s="9"/>
    </row>
    <row r="3" spans="1:7">
      <c r="A3" s="10" t="s">
        <v>1</v>
      </c>
      <c r="B3" s="10"/>
      <c r="C3" s="10"/>
      <c r="D3" s="10"/>
      <c r="E3" s="10"/>
      <c r="F3" s="10"/>
      <c r="G3" s="10"/>
    </row>
    <row r="4" spans="1:7">
      <c r="A4" s="2"/>
      <c r="B4" s="2"/>
      <c r="C4" s="2"/>
      <c r="D4" s="2"/>
      <c r="E4" s="2"/>
      <c r="F4" s="2"/>
      <c r="G4" s="2"/>
    </row>
    <row r="5" spans="1:7" ht="30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78</v>
      </c>
    </row>
    <row r="6" spans="1:7">
      <c r="A6" s="2" t="s">
        <v>8</v>
      </c>
      <c r="B6" s="2" t="s">
        <v>9</v>
      </c>
      <c r="C6" s="2" t="s">
        <v>10</v>
      </c>
      <c r="D6" s="2" t="s">
        <v>11</v>
      </c>
      <c r="E6" s="2"/>
      <c r="F6" s="5">
        <v>163.1</v>
      </c>
      <c r="G6" s="2"/>
    </row>
    <row r="7" spans="1:7">
      <c r="A7" s="2" t="s">
        <v>12</v>
      </c>
      <c r="B7" s="2" t="s">
        <v>9</v>
      </c>
      <c r="C7" s="2" t="s">
        <v>10</v>
      </c>
      <c r="D7" s="2" t="s">
        <v>13</v>
      </c>
      <c r="E7" s="2"/>
      <c r="F7" s="5">
        <v>108.5</v>
      </c>
      <c r="G7" s="2"/>
    </row>
    <row r="8" spans="1:7">
      <c r="A8" s="2" t="s">
        <v>14</v>
      </c>
      <c r="B8" s="2" t="s">
        <v>9</v>
      </c>
      <c r="C8" s="2" t="s">
        <v>15</v>
      </c>
      <c r="D8" s="2" t="s">
        <v>11</v>
      </c>
      <c r="E8" s="2" t="s">
        <v>16</v>
      </c>
      <c r="F8" s="5">
        <v>88.1</v>
      </c>
      <c r="G8" s="2"/>
    </row>
    <row r="9" spans="1:7">
      <c r="A9" s="2" t="s">
        <v>17</v>
      </c>
      <c r="B9" s="2" t="s">
        <v>18</v>
      </c>
      <c r="C9" s="2" t="s">
        <v>15</v>
      </c>
      <c r="D9" s="2" t="s">
        <v>13</v>
      </c>
      <c r="E9" s="2" t="s">
        <v>16</v>
      </c>
      <c r="F9" s="5">
        <v>86.7</v>
      </c>
      <c r="G9" s="2" t="s">
        <v>19</v>
      </c>
    </row>
    <row r="10" spans="1:7">
      <c r="A10" s="2" t="s">
        <v>20</v>
      </c>
      <c r="B10" s="2" t="s">
        <v>9</v>
      </c>
      <c r="C10" s="2" t="s">
        <v>15</v>
      </c>
      <c r="D10" s="2" t="s">
        <v>13</v>
      </c>
      <c r="E10" s="2" t="s">
        <v>16</v>
      </c>
      <c r="F10" s="5">
        <v>88</v>
      </c>
      <c r="G10" s="2"/>
    </row>
    <row r="11" spans="1:7">
      <c r="A11" s="2" t="s">
        <v>21</v>
      </c>
      <c r="B11" s="2" t="s">
        <v>22</v>
      </c>
      <c r="C11" s="2" t="s">
        <v>15</v>
      </c>
      <c r="D11" s="2" t="s">
        <v>11</v>
      </c>
      <c r="E11" s="2" t="s">
        <v>16</v>
      </c>
      <c r="F11" s="5">
        <v>86.5</v>
      </c>
      <c r="G11" s="2" t="s">
        <v>19</v>
      </c>
    </row>
    <row r="12" spans="1:7">
      <c r="A12" s="2" t="s">
        <v>23</v>
      </c>
      <c r="B12" s="2" t="s">
        <v>24</v>
      </c>
      <c r="C12" s="2" t="s">
        <v>25</v>
      </c>
      <c r="D12" s="2" t="s">
        <v>13</v>
      </c>
      <c r="E12" s="2" t="s">
        <v>26</v>
      </c>
      <c r="F12" s="5">
        <v>54.9</v>
      </c>
      <c r="G12" s="2"/>
    </row>
    <row r="13" spans="1:7">
      <c r="A13" s="2" t="s">
        <v>27</v>
      </c>
      <c r="B13" s="2" t="s">
        <v>9</v>
      </c>
      <c r="C13" s="2" t="s">
        <v>25</v>
      </c>
      <c r="D13" s="2" t="s">
        <v>11</v>
      </c>
      <c r="E13" s="2" t="s">
        <v>28</v>
      </c>
      <c r="F13" s="5">
        <v>113.8</v>
      </c>
      <c r="G13" s="2" t="s">
        <v>29</v>
      </c>
    </row>
    <row r="14" spans="1:7">
      <c r="A14" s="2" t="s">
        <v>30</v>
      </c>
      <c r="B14" s="2" t="s">
        <v>9</v>
      </c>
      <c r="C14" s="2" t="s">
        <v>25</v>
      </c>
      <c r="D14" s="2" t="s">
        <v>13</v>
      </c>
      <c r="E14" s="2" t="s">
        <v>28</v>
      </c>
      <c r="F14" s="5">
        <v>119.8</v>
      </c>
      <c r="G14" s="2"/>
    </row>
    <row r="15" spans="1:7">
      <c r="A15" s="2" t="s">
        <v>31</v>
      </c>
      <c r="B15" s="2" t="s">
        <v>22</v>
      </c>
      <c r="C15" s="2" t="s">
        <v>25</v>
      </c>
      <c r="D15" s="2" t="s">
        <v>11</v>
      </c>
      <c r="E15" s="2" t="s">
        <v>26</v>
      </c>
      <c r="F15" s="5">
        <v>56.7</v>
      </c>
      <c r="G15" s="2" t="s">
        <v>32</v>
      </c>
    </row>
    <row r="16" spans="1:7">
      <c r="A16" s="2" t="s">
        <v>33</v>
      </c>
      <c r="B16" s="2" t="s">
        <v>34</v>
      </c>
      <c r="C16" s="2" t="s">
        <v>35</v>
      </c>
      <c r="D16" s="2" t="s">
        <v>11</v>
      </c>
      <c r="E16" s="2" t="s">
        <v>36</v>
      </c>
      <c r="F16" s="5">
        <v>179.1</v>
      </c>
      <c r="G16" s="2"/>
    </row>
    <row r="17" spans="1:7">
      <c r="A17" s="2" t="s">
        <v>37</v>
      </c>
      <c r="B17" s="2" t="s">
        <v>38</v>
      </c>
      <c r="C17" s="2" t="s">
        <v>35</v>
      </c>
      <c r="D17" s="2" t="s">
        <v>13</v>
      </c>
      <c r="E17" s="2" t="s">
        <v>36</v>
      </c>
      <c r="F17" s="5">
        <v>178.9</v>
      </c>
      <c r="G17" s="2"/>
    </row>
    <row r="18" spans="1:7">
      <c r="A18" s="2" t="s">
        <v>39</v>
      </c>
      <c r="B18" s="2" t="s">
        <v>34</v>
      </c>
      <c r="C18" s="2" t="s">
        <v>40</v>
      </c>
      <c r="D18" s="2" t="s">
        <v>11</v>
      </c>
      <c r="E18" s="2" t="s">
        <v>36</v>
      </c>
      <c r="F18" s="5">
        <v>172.4</v>
      </c>
      <c r="G18" s="2"/>
    </row>
    <row r="19" spans="1:7">
      <c r="A19" s="2" t="s">
        <v>41</v>
      </c>
      <c r="B19" s="2" t="s">
        <v>38</v>
      </c>
      <c r="C19" s="2" t="s">
        <v>40</v>
      </c>
      <c r="D19" s="2" t="s">
        <v>13</v>
      </c>
      <c r="E19" s="2" t="s">
        <v>36</v>
      </c>
      <c r="F19" s="5">
        <v>171.3</v>
      </c>
      <c r="G19" s="2"/>
    </row>
    <row r="20" spans="1:7">
      <c r="A20" s="2" t="s">
        <v>42</v>
      </c>
      <c r="B20" s="2" t="s">
        <v>24</v>
      </c>
      <c r="C20" s="2" t="s">
        <v>10</v>
      </c>
      <c r="D20" s="2" t="s">
        <v>11</v>
      </c>
      <c r="E20" s="2" t="s">
        <v>16</v>
      </c>
      <c r="F20" s="5">
        <v>63</v>
      </c>
      <c r="G20" s="2"/>
    </row>
    <row r="21" spans="1:7">
      <c r="A21" s="2" t="s">
        <v>43</v>
      </c>
      <c r="B21" s="2" t="s">
        <v>44</v>
      </c>
      <c r="C21" s="2" t="s">
        <v>10</v>
      </c>
      <c r="D21" s="2" t="s">
        <v>13</v>
      </c>
      <c r="E21" s="2" t="s">
        <v>16</v>
      </c>
      <c r="F21" s="5">
        <v>53.1</v>
      </c>
      <c r="G21" s="2"/>
    </row>
    <row r="22" spans="1:7">
      <c r="A22" s="2" t="s">
        <v>45</v>
      </c>
      <c r="B22" s="2" t="s">
        <v>44</v>
      </c>
      <c r="C22" s="2" t="s">
        <v>10</v>
      </c>
      <c r="D22" s="2" t="s">
        <v>11</v>
      </c>
      <c r="E22" s="2" t="s">
        <v>16</v>
      </c>
      <c r="F22" s="5">
        <v>53.1</v>
      </c>
      <c r="G22" s="2"/>
    </row>
    <row r="23" spans="1:7">
      <c r="A23" s="2" t="s">
        <v>46</v>
      </c>
      <c r="B23" s="2" t="s">
        <v>22</v>
      </c>
      <c r="C23" s="2" t="s">
        <v>10</v>
      </c>
      <c r="D23" s="2" t="s">
        <v>13</v>
      </c>
      <c r="E23" s="2" t="s">
        <v>16</v>
      </c>
      <c r="F23" s="5">
        <v>62.9</v>
      </c>
      <c r="G23" s="2"/>
    </row>
    <row r="24" spans="1:7">
      <c r="A24" s="2" t="s">
        <v>47</v>
      </c>
      <c r="B24" s="2" t="s">
        <v>24</v>
      </c>
      <c r="C24" s="2" t="s">
        <v>15</v>
      </c>
      <c r="D24" s="2" t="s">
        <v>11</v>
      </c>
      <c r="E24" s="2" t="s">
        <v>16</v>
      </c>
      <c r="F24" s="5">
        <v>64.8</v>
      </c>
      <c r="G24" s="2"/>
    </row>
    <row r="25" spans="1:7">
      <c r="A25" s="2" t="s">
        <v>48</v>
      </c>
      <c r="B25" s="2" t="s">
        <v>44</v>
      </c>
      <c r="C25" s="2" t="s">
        <v>15</v>
      </c>
      <c r="D25" s="2" t="s">
        <v>13</v>
      </c>
      <c r="E25" s="2" t="s">
        <v>16</v>
      </c>
      <c r="F25" s="5">
        <v>59.7</v>
      </c>
      <c r="G25" s="2"/>
    </row>
    <row r="26" spans="1:7">
      <c r="A26" s="2" t="s">
        <v>49</v>
      </c>
      <c r="B26" s="2" t="s">
        <v>22</v>
      </c>
      <c r="C26" s="2" t="s">
        <v>15</v>
      </c>
      <c r="D26" s="2" t="s">
        <v>13</v>
      </c>
      <c r="E26" s="2" t="s">
        <v>28</v>
      </c>
      <c r="F26" s="5">
        <v>82.3</v>
      </c>
      <c r="G26" s="2" t="s">
        <v>50</v>
      </c>
    </row>
    <row r="27" spans="1:7">
      <c r="A27" s="2" t="s">
        <v>51</v>
      </c>
      <c r="B27" s="2" t="s">
        <v>44</v>
      </c>
      <c r="C27" s="2" t="s">
        <v>15</v>
      </c>
      <c r="D27" s="2" t="s">
        <v>11</v>
      </c>
      <c r="E27" s="2" t="s">
        <v>26</v>
      </c>
      <c r="F27" s="5">
        <v>36.9</v>
      </c>
      <c r="G27" s="2"/>
    </row>
    <row r="28" spans="1:7">
      <c r="A28" s="2" t="s">
        <v>52</v>
      </c>
      <c r="B28" s="2" t="s">
        <v>24</v>
      </c>
      <c r="C28" s="2" t="s">
        <v>25</v>
      </c>
      <c r="D28" s="2" t="s">
        <v>11</v>
      </c>
      <c r="E28" s="2" t="s">
        <v>26</v>
      </c>
      <c r="F28" s="5">
        <v>45.8</v>
      </c>
      <c r="G28" s="2"/>
    </row>
    <row r="29" spans="1:7">
      <c r="A29" s="2" t="s">
        <v>53</v>
      </c>
      <c r="B29" s="2" t="s">
        <v>44</v>
      </c>
      <c r="C29" s="2" t="s">
        <v>25</v>
      </c>
      <c r="D29" s="2" t="s">
        <v>13</v>
      </c>
      <c r="E29" s="2" t="s">
        <v>28</v>
      </c>
      <c r="F29" s="5">
        <v>81.7</v>
      </c>
      <c r="G29" s="2"/>
    </row>
    <row r="30" spans="1:7">
      <c r="A30" s="2" t="s">
        <v>54</v>
      </c>
      <c r="B30" s="2" t="s">
        <v>44</v>
      </c>
      <c r="C30" s="2" t="s">
        <v>25</v>
      </c>
      <c r="D30" s="2" t="s">
        <v>11</v>
      </c>
      <c r="E30" s="2" t="s">
        <v>16</v>
      </c>
      <c r="F30" s="5">
        <v>60.3</v>
      </c>
      <c r="G30" s="2"/>
    </row>
    <row r="31" spans="1:7">
      <c r="A31" s="2" t="s">
        <v>55</v>
      </c>
      <c r="B31" s="2" t="s">
        <v>22</v>
      </c>
      <c r="C31" s="2" t="s">
        <v>25</v>
      </c>
      <c r="D31" s="2" t="s">
        <v>13</v>
      </c>
      <c r="E31" s="2" t="s">
        <v>16</v>
      </c>
      <c r="F31" s="5">
        <v>69.099999999999994</v>
      </c>
      <c r="G31" s="2"/>
    </row>
    <row r="32" spans="1:7">
      <c r="A32" s="2" t="s">
        <v>56</v>
      </c>
      <c r="B32" s="2" t="s">
        <v>57</v>
      </c>
      <c r="C32" s="2" t="s">
        <v>35</v>
      </c>
      <c r="D32" s="2" t="s">
        <v>13</v>
      </c>
      <c r="E32" s="2" t="s">
        <v>58</v>
      </c>
      <c r="F32" s="5">
        <v>127.4</v>
      </c>
      <c r="G32" s="2"/>
    </row>
    <row r="33" spans="1:7">
      <c r="A33" s="2" t="s">
        <v>59</v>
      </c>
      <c r="B33" s="2" t="s">
        <v>60</v>
      </c>
      <c r="C33" s="2" t="s">
        <v>35</v>
      </c>
      <c r="D33" s="2" t="s">
        <v>11</v>
      </c>
      <c r="E33" s="2" t="s">
        <v>58</v>
      </c>
      <c r="F33" s="5">
        <v>126.1</v>
      </c>
      <c r="G33" s="2"/>
    </row>
    <row r="34" spans="1:7">
      <c r="A34" s="2" t="s">
        <v>61</v>
      </c>
      <c r="B34" s="2" t="s">
        <v>57</v>
      </c>
      <c r="C34" s="2" t="s">
        <v>40</v>
      </c>
      <c r="D34" s="2" t="s">
        <v>13</v>
      </c>
      <c r="E34" s="2" t="s">
        <v>58</v>
      </c>
      <c r="F34" s="5">
        <v>129.30000000000001</v>
      </c>
      <c r="G34" s="2"/>
    </row>
    <row r="35" spans="1:7">
      <c r="A35" s="2" t="s">
        <v>62</v>
      </c>
      <c r="B35" s="2" t="s">
        <v>60</v>
      </c>
      <c r="C35" s="2" t="s">
        <v>40</v>
      </c>
      <c r="D35" s="2" t="s">
        <v>11</v>
      </c>
      <c r="E35" s="2" t="s">
        <v>58</v>
      </c>
      <c r="F35" s="5">
        <v>129.30000000000001</v>
      </c>
      <c r="G35" s="2"/>
    </row>
    <row r="36" spans="1:7" ht="30">
      <c r="A36" s="4" t="s">
        <v>63</v>
      </c>
      <c r="B36" s="4"/>
      <c r="C36" s="4"/>
      <c r="D36" s="4"/>
      <c r="E36" s="4"/>
      <c r="F36" s="6">
        <f>SUM(F6:F35)</f>
        <v>2912.6000000000008</v>
      </c>
      <c r="G36" s="4"/>
    </row>
    <row r="37" spans="1:7">
      <c r="A37" s="2" t="s">
        <v>64</v>
      </c>
      <c r="B37" s="2" t="s">
        <v>9</v>
      </c>
      <c r="C37" s="2" t="s">
        <v>65</v>
      </c>
      <c r="D37" s="2" t="s">
        <v>13</v>
      </c>
      <c r="E37" s="2" t="s">
        <v>58</v>
      </c>
      <c r="F37" s="5">
        <v>148.88</v>
      </c>
      <c r="G37" s="2"/>
    </row>
    <row r="38" spans="1:7">
      <c r="A38" s="2" t="s">
        <v>54</v>
      </c>
      <c r="B38" s="2" t="s">
        <v>9</v>
      </c>
      <c r="C38" s="2" t="s">
        <v>65</v>
      </c>
      <c r="D38" s="2" t="s">
        <v>11</v>
      </c>
      <c r="E38" s="2" t="s">
        <v>58</v>
      </c>
      <c r="F38" s="5">
        <v>145.81</v>
      </c>
      <c r="G38" s="2"/>
    </row>
    <row r="39" spans="1:7">
      <c r="A39" s="2" t="s">
        <v>66</v>
      </c>
      <c r="B39" s="2" t="s">
        <v>44</v>
      </c>
      <c r="C39" s="2" t="s">
        <v>65</v>
      </c>
      <c r="D39" s="2" t="s">
        <v>13</v>
      </c>
      <c r="E39" s="2" t="s">
        <v>58</v>
      </c>
      <c r="F39" s="5">
        <v>107.45</v>
      </c>
      <c r="G39" s="2"/>
    </row>
    <row r="40" spans="1:7">
      <c r="A40" s="2" t="s">
        <v>67</v>
      </c>
      <c r="B40" s="2" t="s">
        <v>44</v>
      </c>
      <c r="C40" s="2" t="s">
        <v>65</v>
      </c>
      <c r="D40" s="2" t="s">
        <v>11</v>
      </c>
      <c r="E40" s="2" t="s">
        <v>58</v>
      </c>
      <c r="F40" s="5">
        <v>107.06</v>
      </c>
      <c r="G40" s="2"/>
    </row>
    <row r="41" spans="1:7" ht="15">
      <c r="A41" s="4" t="s">
        <v>68</v>
      </c>
      <c r="B41" s="4"/>
      <c r="C41" s="4"/>
      <c r="D41" s="4"/>
      <c r="E41" s="4"/>
      <c r="F41" s="6">
        <f>SUM(F37:F40)</f>
        <v>509.2</v>
      </c>
      <c r="G41" s="4"/>
    </row>
    <row r="42" spans="1:7" ht="36">
      <c r="A42" s="8" t="s">
        <v>77</v>
      </c>
      <c r="B42" s="4"/>
      <c r="C42" s="4"/>
      <c r="D42" s="4"/>
      <c r="E42" s="4"/>
      <c r="F42" s="7">
        <f>F36+F41</f>
        <v>3421.8000000000006</v>
      </c>
      <c r="G42" s="4"/>
    </row>
    <row r="43" spans="1:7">
      <c r="A43" s="2"/>
      <c r="B43" s="2"/>
      <c r="C43" s="2"/>
      <c r="D43" s="2"/>
      <c r="E43" s="2"/>
      <c r="F43" s="2"/>
      <c r="G43" s="2"/>
    </row>
    <row r="44" spans="1:7">
      <c r="A44" s="11" t="s">
        <v>79</v>
      </c>
      <c r="B44" s="11"/>
      <c r="C44" s="11"/>
      <c r="D44" s="11"/>
      <c r="E44" s="11"/>
      <c r="F44" s="11"/>
      <c r="G44" s="11"/>
    </row>
  </sheetData>
  <mergeCells count="4">
    <mergeCell ref="A1:G1"/>
    <mergeCell ref="A2:G2"/>
    <mergeCell ref="A3:G3"/>
    <mergeCell ref="A44:G4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9" defaultRowHeight="14.25"/>
  <cols>
    <col min="1" max="1" width="13" customWidth="1"/>
    <col min="2" max="2" width="107.125" customWidth="1"/>
  </cols>
  <sheetData>
    <row r="1" spans="1:2" ht="15">
      <c r="A1" s="1" t="s">
        <v>69</v>
      </c>
      <c r="B1" t="s">
        <v>70</v>
      </c>
    </row>
    <row r="2" spans="1:2" ht="15">
      <c r="A2" s="1" t="s">
        <v>5</v>
      </c>
      <c r="B2" t="s">
        <v>71</v>
      </c>
    </row>
    <row r="3" spans="1:2" ht="15">
      <c r="A3" s="1" t="s">
        <v>72</v>
      </c>
      <c r="B3" t="s">
        <v>73</v>
      </c>
    </row>
    <row r="4" spans="1:2" ht="15">
      <c r="A4" s="1" t="s">
        <v>74</v>
      </c>
      <c r="B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Übersicht</vt:lpstr>
      <vt:lpstr>Quelle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 Follmer-Greiff</cp:lastModifiedBy>
  <cp:lastPrinted>2026-05-17T13:18:47Z</cp:lastPrinted>
  <dcterms:created xsi:type="dcterms:W3CDTF">2026-05-07T15:23:54Z</dcterms:created>
  <dcterms:modified xsi:type="dcterms:W3CDTF">2026-05-17T13:19:00Z</dcterms:modified>
</cp:coreProperties>
</file>